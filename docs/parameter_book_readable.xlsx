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8a42695b4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86512239eb408f"/>
    <x:sheet xmlns:r="http://schemas.openxmlformats.org/officeDocument/2006/relationships" name="Parameter Book" sheetId="2" r:id="R62cd00b74d3c45b6"/>
    <x:sheet xmlns:r="http://schemas.openxmlformats.org/officeDocument/2006/relationships" name="Legend &amp; Notes" sheetId="3" r:id="R34d3e9d37e69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i/>
      <x:sz val="11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aed41826a4720" /><Relationship Type="http://schemas.openxmlformats.org/officeDocument/2006/relationships/theme" Target="/xl/theme/theme1.xml" Id="R4e2ca0a341a04e86" /><Relationship Type="http://schemas.openxmlformats.org/officeDocument/2006/relationships/sharedStrings" Target="/xl/sharedStrings.xml" Id="R056f4a9d6fcb42d8" /><Relationship Type="http://schemas.openxmlformats.org/officeDocument/2006/relationships/worksheet" Target="/xl/worksheets/sheet1.xml" Id="Ra486512239eb408f" /><Relationship Type="http://schemas.openxmlformats.org/officeDocument/2006/relationships/worksheet" Target="/xl/worksheets/sheet2.xml" Id="R62cd00b74d3c45b6" /><Relationship Type="http://schemas.openxmlformats.org/officeDocument/2006/relationships/worksheet" Target="/xl/worksheets/sheet3.xml" Id="R34d3e9d37e6948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6917c8bb9e41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Parameter treatment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6917c8bb9e41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ameterBookTable" displayName="ParameterBookTable" ref="A4:J42" headerRowCount="1" totalsRowCount="0" totalsRowShown="0">
  <x:tableColumns count="10">
    <x:tableColumn id="1" name="Dynare parameter"/>
    <x:tableColumn id="2" name="Symbol"/>
    <x:tableColumn id="3" name="Model block"/>
    <x:tableColumn id="4" name="Classification"/>
    <x:tableColumn id="5" name="Baseline value"/>
    <x:tableColumn id="6" name="Units / interpretation"/>
    <x:tableColumn id="7" name="Why this treatment"/>
    <x:tableColumn id="8" name="Literature justification placeholder"/>
    <x:tableColumn id="9" name="Data / source placeholder"/>
    <x:tableColumn id="10" name="Estimation / sensitivit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2772bee96049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131eabca6e418f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4" max="4" width="30" hidden="0" customWidth="1"/>
    <x:col min="5" max="5" width="16" hidden="0" customWidth="1"/>
    <x:col min="6" max="6" width="24" hidden="0" customWidth="1"/>
  </x:cols>
  <x:sheetData>
    <x:row r="1">
      <x:c r="A1" s="4" t="str">
        <x:v>Brazil 1964–1980 DSGE — Parameter Control Summary</x:v>
      </x:c>
      <x:c r="B1" s="4"/>
      <x:c r="C1" s="4"/>
      <x:c r="D1" s="4"/>
      <x:c r="E1" s="4"/>
      <x:c r="F1" s="4"/>
    </x:row>
    <x:row r="3">
      <x:c r="A3" s="18" t="str">
        <x:v>Classification</x:v>
      </x:c>
      <x:c r="B3" s="18" t="str">
        <x:v>Count</x:v>
      </x:c>
      <x:c r="D3" s="19" t="str">
        <x:v>Accounting / derivation check</x:v>
      </x:c>
      <x:c r="E3" s="19" t="str">
        <x:v>Current value</x:v>
      </x:c>
      <x:c r="F3" s="19" t="str">
        <x:v>Target / condition</x:v>
      </x:c>
    </x:row>
    <x:row r="4">
      <x:c r="A4" t="str">
        <x:v>Estimated</x:v>
      </x:c>
      <x:c r="B4" t="n">
        <x:f>COUNTIF('Parameter Book'!D5:D42,"Estimated")</x:f>
        <x:v>16</x:v>
      </x:c>
      <x:c r="D4" t="str">
        <x:v>Domestic absorption shares</x:v>
      </x:c>
      <x:c r="E4" s="44" t="n">
        <x:f>'Parameter Book'!E16+'Parameter Book'!E17+'Parameter Book'!E18+'Parameter Book'!E19</x:f>
        <x:v>1</x:v>
      </x:c>
      <x:c r="F4" t="n">
        <x:f> 1.0000</x:f>
        <x:v>1</x:v>
      </x:c>
    </x:row>
    <x:row r="5">
      <x:c r="A5" t="str">
        <x:v>Calibrated</x:v>
      </x:c>
      <x:c r="B5" t="n">
        <x:f>COUNTIF('Parameter Book'!D5:D42,"Calibrated")</x:f>
        <x:v>19</x:v>
      </x:c>
      <x:c r="D5" t="str">
        <x:v>Initial import/export balance</x:v>
      </x:c>
      <x:c r="E5" s="44" t="n">
        <x:f>'Parameter Book'!E20+'Parameter Book'!E21-'Parameter Book'!E17</x:f>
        <x:v>1.3877787807814457e-17</x:v>
      </x:c>
      <x:c r="F5" t="n">
        <x:f> 0.0000</x:f>
        <x:v>0</x:v>
      </x:c>
    </x:row>
    <x:row r="6">
      <x:c r="A6" t="str">
        <x:v>Fixed by normalization</x:v>
      </x:c>
      <x:c r="B6" t="n">
        <x:f>COUNTIF('Parameter Book'!D5:D42,"Fixed by normalization")</x:f>
        <x:v>3</x:v>
      </x:c>
      <x:c r="D6" t="str">
        <x:v>λ_s derived correctly</x:v>
      </x:c>
      <x:c r="E6" s="44" t="n">
        <x:f>'Parameter Book'!E11</x:f>
        <x:v>0.20800000000000002</x:v>
      </x:c>
      <x:c r="F6" t="str">
        <x:v>μ + (1−μ)α</x:v>
      </x:c>
    </x:row>
    <x:row r="7">
      <x:c r="D7" t="str">
        <x:v>κ derived correctly</x:v>
      </x:c>
      <x:c r="E7" s="44" t="n">
        <x:f>'Parameter Book'!E14</x:f>
        <x:v>0.08583333333333336</x:v>
      </x:c>
      <x:c r="F7" t="str">
        <x:v>((1−θ)(1−βθ))/θ</x:v>
      </x:c>
    </x:row>
    <x:row r="8">
      <x:c r="D8" t="str">
        <x:v>1/Π̄ derived correctly</x:v>
      </x:c>
      <x:c r="E8" s="44" t="n">
        <x:f>'Parameter Book'!E35</x:f>
        <x:v>0.9554427922043668</x:v>
      </x:c>
      <x:c r="F8" t="str">
        <x:v>1 / Π̄</x:v>
      </x:c>
    </x:row>
    <x:row r="9">
      <x:c r="A9" s="47" t="str">
        <x:v>Interpretation: Estimate the parameters that identify the paper's historical mechanisms; calibrate structural preferences and observable steady-state ratios; do not estimate algebraically derived parameters.</x:v>
      </x:c>
      <x:c r="B9" s="47"/>
      <x:c r="C9" s="47"/>
      <x:c r="D9" s="47"/>
      <x:c r="E9" s="47"/>
      <x:c r="F9" s="47"/>
    </x:row>
  </x:sheetData>
  <x:mergeCells>
    <x:mergeCell ref="A1:F1"/>
    <x:mergeCell ref="A9:F9"/>
  </x:mergeCells>
  <x:pageMargins left="0.7" right="0.7" top="0.75" bottom="0.75" header="0.3" footer="0.3"/>
  <x:drawing xmlns:r="http://schemas.openxmlformats.org/officeDocument/2006/relationships" r:id="R522772bee960490a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4" hidden="0" customWidth="1"/>
    <x:col min="4" max="4" width="22" hidden="0" customWidth="1"/>
    <x:col min="5" max="5" width="14" hidden="0" customWidth="1"/>
    <x:col min="6" max="6" width="31" hidden="0" customWidth="1"/>
    <x:col min="7" max="7" width="46" hidden="0" customWidth="1"/>
    <x:col min="8" max="8" width="50" hidden="0" customWidth="1"/>
    <x:col min="9" max="9" width="48" hidden="0" customWidth="1"/>
    <x:col min="10" max="10" width="44" hidden="0" customWidth="1"/>
  </x:cols>
  <x:sheetData>
    <x:row r="1" ht="28" customHeight="1">
      <x:c r="A1" s="5" t="str">
        <x:v>Brazil 1964–1980 DSGE — Parameter Classification &amp; Baseline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Recommended treatment for the final baseline model. 'Fixed by normalization' also covers parameters that are algebraically derived from primitive parameters and therefore are not free.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1" t="str">
        <x:v>Dynare parameter</x:v>
      </x:c>
      <x:c r="B4" s="21" t="str">
        <x:v>Symbol</x:v>
      </x:c>
      <x:c r="C4" s="21" t="str">
        <x:v>Model block</x:v>
      </x:c>
      <x:c r="D4" s="21" t="str">
        <x:v>Classification</x:v>
      </x:c>
      <x:c r="E4" s="21" t="str">
        <x:v>Baseline value</x:v>
      </x:c>
      <x:c r="F4" s="21" t="str">
        <x:v>Units / interpretation</x:v>
      </x:c>
      <x:c r="G4" s="21" t="str">
        <x:v>Why this treatment</x:v>
      </x:c>
      <x:c r="H4" s="21" t="str">
        <x:v>Literature justification placeholder</x:v>
      </x:c>
      <x:c r="I4" s="21" t="str">
        <x:v>Data / source placeholder</x:v>
      </x:c>
      <x:c r="J4" s="21" t="str">
        <x:v>Estimation / sensitivity note</x:v>
      </x:c>
    </x:row>
    <x:row r="5">
      <x:c r="A5" s="28" t="str">
        <x:v>beta</x:v>
      </x:c>
      <x:c r="B5" s="28" t="str">
        <x:v>β</x:v>
      </x:c>
      <x:c r="C5" s="28" t="str">
        <x:v>Households / preferences</x:v>
      </x:c>
      <x:c r="D5" s="30" t="str">
        <x:v>Calibrated</x:v>
      </x:c>
      <x:c r="E5" s="40" t="n">
        <x:v>0.99</x:v>
      </x:c>
      <x:c r="F5" s="28" t="str">
        <x:v>Quarterly discount factor</x:v>
      </x:c>
      <x:c r="G5" s="28" t="str">
        <x:v>Long-run preference parameter; weakly identified in a short historical sample and conventionally calibrated.</x:v>
      </x:c>
      <x:c r="H5" s="28" t="str">
        <x:v>[PLACEHOLDER] Galí &amp; Monacelli (2005); standard quarterly DSGE calibration — add exact page/equation.</x:v>
      </x:c>
      <x:c r="I5" s="28" t="str">
        <x:v>[PLACEHOLDER] No direct data target; justify against quarterly real-rate/discount-factor convention.</x:v>
      </x:c>
      <x:c r="J5" s="28" t="str">
        <x:v>Keep fixed in baseline; sensitivity e.g. 0.985–0.995.</x:v>
      </x:c>
    </x:row>
    <x:row r="6">
      <x:c r="A6" s="28" t="str">
        <x:v>sigma</x:v>
      </x:c>
      <x:c r="B6" s="28" t="str">
        <x:v>σ</x:v>
      </x:c>
      <x:c r="C6" s="28" t="str">
        <x:v>Households / preferences</x:v>
      </x:c>
      <x:c r="D6" s="30" t="str">
        <x:v>Calibrated</x:v>
      </x:c>
      <x:c r="E6" s="40" t="n">
        <x:v>1.5</x:v>
      </x:c>
      <x:c r="F6" s="28" t="str">
        <x:v>CRRA coefficient / inverse IES</x:v>
      </x:c>
      <x:c r="G6" s="28" t="str">
        <x:v>Preference curvature is not the paper's historical mechanism; calibrate to SOE/DSGE literature.</x:v>
      </x:c>
      <x:c r="H6" s="28" t="str">
        <x:v>[PLACEHOLDER] Galí textbook / Galí &amp; Monacelli; Brazil DSGE estimates — add exact citation.</x:v>
      </x:c>
      <x:c r="I6" s="28" t="str">
        <x:v>[PLACEHOLDER] Literature prior or external micro/macro IES evidence.</x:v>
      </x:c>
      <x:c r="J6" s="28" t="str">
        <x:v>Sensitivity is more important than estimating it in 1964–1980.</x:v>
      </x:c>
    </x:row>
    <x:row r="7">
      <x:c r="A7" s="28" t="str">
        <x:v>varphi</x:v>
      </x:c>
      <x:c r="B7" s="28" t="str">
        <x:v>φ</x:v>
      </x:c>
      <x:c r="C7" s="28" t="str">
        <x:v>Households / preferences</x:v>
      </x:c>
      <x:c r="D7" s="30" t="str">
        <x:v>Calibrated</x:v>
      </x:c>
      <x:c r="E7" s="40" t="n">
        <x:v>1</x:v>
      </x:c>
      <x:c r="F7" s="28" t="str">
        <x:v>Inverse Frisch elasticity</x:v>
      </x:c>
      <x:c r="G7" s="28" t="str">
        <x:v>Labor-supply curvature is peripheral to the paper's core mechanism and likely weakly identified.</x:v>
      </x:c>
      <x:c r="H7" s="28" t="str">
        <x:v>[PLACEHOLDER] Standard NK/DSGE labor-supply calibration; Brazil DSGE reference.</x:v>
      </x:c>
      <x:c r="I7" s="28" t="str">
        <x:v>[PLACEHOLDER] Labor-supply elasticity literature.</x:v>
      </x:c>
      <x:c r="J7" s="28" t="str">
        <x:v>Keep fixed unless labor-market data become a central estimation target.</x:v>
      </x:c>
    </x:row>
    <x:row r="8">
      <x:c r="A8" s="28" t="str">
        <x:v>alpha</x:v>
      </x:c>
      <x:c r="B8" s="28" t="str">
        <x:v>α</x:v>
      </x:c>
      <x:c r="C8" s="28" t="str">
        <x:v>Open economy / consumption</x:v>
      </x:c>
      <x:c r="D8" s="30" t="str">
        <x:v>Calibrated</x:v>
      </x:c>
      <x:c r="E8" s="40" t="n">
        <x:v>0.1</x:v>
      </x:c>
      <x:c r="F8" s="28" t="str">
        <x:v>Import openness/home-bias parameter</x:v>
      </x:c>
      <x:c r="G8" s="28" t="str">
        <x:v>Should be tied to Brazilian import expenditure shares rather than freely estimated.</x:v>
      </x:c>
      <x:c r="H8" s="28" t="str">
        <x:v>[PLACEHOLDER] Galí &amp; Monacelli mapping from openness to import share; add exact equation.</x:v>
      </x:c>
      <x:c r="I8" s="28" t="str">
        <x:v>[PLACEHOLDER] IBGE/Ipeadata/Bacen national accounts: imports and household import content, 1964–1980.</x:v>
      </x:c>
      <x:c r="J8" s="28" t="str">
        <x:v>Recalibrate from period-specific average import share before estimation.</x:v>
      </x:c>
    </x:row>
    <x:row r="9">
      <x:c r="A9" s="28" t="str">
        <x:v>eta</x:v>
      </x:c>
      <x:c r="B9" s="28" t="str">
        <x:v>η</x:v>
      </x:c>
      <x:c r="C9" s="28" t="str">
        <x:v>Open economy / consumption</x:v>
      </x:c>
      <x:c r="D9" s="30" t="str">
        <x:v>Calibrated</x:v>
      </x:c>
      <x:c r="E9" s="40" t="n">
        <x:v>0.8</x:v>
      </x:c>
      <x:c r="F9" s="28" t="str">
        <x:v>Elasticity between domestic and foreign goods</x:v>
      </x:c>
      <x:c r="G9" s="28" t="str">
        <x:v>Trade substitution elasticity is difficult to identify precisely in this short sample; literature calibration is safer.</x:v>
      </x:c>
      <x:c r="H9" s="28" t="str">
        <x:v>[PLACEHOLDER] Galí &amp; Monacelli / international trade elasticity literature.</x:v>
      </x:c>
      <x:c r="I9" s="28" t="str">
        <x:v>[PLACEHOLDER] External literature estimate; optional Brazil trade-demand study.</x:v>
      </x:c>
      <x:c r="J9" s="28" t="str">
        <x:v>Run sensitivity because trade-balance responses depend on this parameter.</x:v>
      </x:c>
    </x:row>
    <x:row r="10">
      <x:c r="A10" s="28" t="str">
        <x:v>mu</x:v>
      </x:c>
      <x:c r="B10" s="28" t="str">
        <x:v>μ</x:v>
      </x:c>
      <x:c r="C10" s="28" t="str">
        <x:v>Production / imported inputs</x:v>
      </x:c>
      <x:c r="D10" s="30" t="str">
        <x:v>Calibrated</x:v>
      </x:c>
      <x:c r="E10" s="40" t="n">
        <x:v>0.12</x:v>
      </x:c>
      <x:c r="F10" s="28" t="str">
        <x:v>Imported intermediate input share</x:v>
      </x:c>
      <x:c r="G10" s="28" t="str">
        <x:v>Directly observable/calibratable from input-output or import-use data; central cost channel should be data-disciplined.</x:v>
      </x:c>
      <x:c r="H10" s="28" t="str">
        <x:v>[PLACEHOLDER] Imported-input SOE production literature; Brazil input-output evidence.</x:v>
      </x:c>
      <x:c r="I10" s="28" t="str">
        <x:v>[PLACEHOLDER] IBGE input-output tables / historical import composition / manufacturing intermediate imports.</x:v>
      </x:c>
      <x:c r="J10" s="28" t="str">
        <x:v>High-priority historical calibration; do not choose it solely to magnify inflation.</x:v>
      </x:c>
    </x:row>
    <x:row r="11">
      <x:c r="A11" s="28" t="str">
        <x:v>lambda_s</x:v>
      </x:c>
      <x:c r="B11" s="28" t="str">
        <x:v>λ_s</x:v>
      </x:c>
      <x:c r="C11" s="28" t="str">
        <x:v>Production / imported inputs</x:v>
      </x:c>
      <x:c r="D11" s="34" t="str">
        <x:v>Fixed by normalization</x:v>
      </x:c>
      <x:c r="E11" s="41" t="n">
        <x:f>E10+(1-E10)*E8</x:f>
        <x:v>0.20800000000000002</x:v>
      </x:c>
      <x:c r="F11" s="28" t="str">
        <x:v>Terms-of-trade loading in marginal cost</x:v>
      </x:c>
      <x:c r="G11" s="28" t="str">
        <x:v>Not a free parameter: implied by μ and α from the derived marginal-cost equation.</x:v>
      </x:c>
      <x:c r="H11" s="28" t="str">
        <x:v>[PLACEHOLDER] Derivation in model appendix from cost minimization and CPI relation.</x:v>
      </x:c>
      <x:c r="I11" s="28" t="str">
        <x:v>Derived; no independent data source.</x:v>
      </x:c>
      <x:c r="J11" s="28" t="str">
        <x:v>Excel formula = μ + (1−μ)α. Dynare: lambda_s = mu + (1-mu)*alpha.</x:v>
      </x:c>
    </x:row>
    <x:row r="12">
      <x:c r="A12" s="28" t="str">
        <x:v>theta</x:v>
      </x:c>
      <x:c r="B12" s="28" t="str">
        <x:v>θ</x:v>
      </x:c>
      <x:c r="C12" s="28" t="str">
        <x:v>Price setting</x:v>
      </x:c>
      <x:c r="D12" s="38" t="str">
        <x:v>Estimated</x:v>
      </x:c>
      <x:c r="E12" s="40" t="n">
        <x:v>0.75</x:v>
      </x:c>
      <x:c r="F12" s="28" t="str">
        <x:v>Calvo probability of not resetting price</x:v>
      </x:c>
      <x:c r="G12" s="28" t="str">
        <x:v>Price rigidity materially affects the NKPC slope and should face inflation/output data rather than be chosen for persistence.</x:v>
      </x:c>
      <x:c r="H12" s="28" t="str">
        <x:v>[PLACEHOLDER] Calvo (1983); Christiano-Eichenbaum-Evans (2005); Brazil DSGE estimates.</x:v>
      </x:c>
      <x:c r="I12" s="28" t="str">
        <x:v>[PLACEHOLDER] Estimate jointly with inflation/output; use Brazil price-duration studies as prior if available.</x:v>
      </x:c>
      <x:c r="J12" s="28" t="str">
        <x:v>Estimate with bounded prior; check identification against γ_I.</x:v>
      </x:c>
    </x:row>
    <x:row r="13">
      <x:c r="A13" s="28" t="str">
        <x:v>gammaI</x:v>
      </x:c>
      <x:c r="B13" s="28" t="str">
        <x:v>γ_I</x:v>
      </x:c>
      <x:c r="C13" s="28" t="str">
        <x:v>Price setting / indexation</x:v>
      </x:c>
      <x:c r="D13" s="38" t="str">
        <x:v>Estimated</x:v>
      </x:c>
      <x:c r="E13" s="40" t="n">
        <x:v>0.7</x:v>
      </x:c>
      <x:c r="F13" s="28" t="str">
        <x:v>Lagged-inflation indexation coefficient</x:v>
      </x:c>
      <x:c r="G13" s="28" t="str">
        <x:v>This is a central historical mechanism for Brazilian inflation inertia and should be estimated.</x:v>
      </x:c>
      <x:c r="H13" s="28" t="str">
        <x:v>[PLACEHOLDER] Arida &amp; Lara Resende; Cardoso; indexed NKPC literature — add exact historical and model citations.</x:v>
      </x:c>
      <x:c r="I13" s="28" t="str">
        <x:v>[PLACEHOLDER] Brazilian CPI/inflation series, 1964–1980; institutional evidence on formal indexation.</x:v>
      </x:c>
      <x:c r="J13" s="28" t="str">
        <x:v>Core thesis parameter. Report posterior/SE and no-indexation counterfactual.</x:v>
      </x:c>
    </x:row>
    <x:row r="14">
      <x:c r="A14" s="28" t="str">
        <x:v>kappa</x:v>
      </x:c>
      <x:c r="B14" s="28" t="str">
        <x:v>κ</x:v>
      </x:c>
      <x:c r="C14" s="28" t="str">
        <x:v>Price setting</x:v>
      </x:c>
      <x:c r="D14" s="34" t="str">
        <x:v>Fixed by normalization</x:v>
      </x:c>
      <x:c r="E14" s="41" t="n">
        <x:f>((1-E12)*(1-E5*E12))/E12</x:f>
        <x:v>0.08583333333333336</x:v>
      </x:c>
      <x:c r="F14" s="28" t="str">
        <x:v>NKPC slope implied by β and θ</x:v>
      </x:c>
      <x:c r="G14" s="28" t="str">
        <x:v>Derived from the Calvo block in this simplified linear implementation; not independently estimated.</x:v>
      </x:c>
      <x:c r="H14" s="28" t="str">
        <x:v>[PLACEHOLDER] Calvo/NKPC derivation; exact formula used in model appendix.</x:v>
      </x:c>
      <x:c r="I14" s="28" t="str">
        <x:v>Derived; no independent data source.</x:v>
      </x:c>
      <x:c r="J14" s="28" t="str">
        <x:v>Excel formula = ((1−θ)(1−βθ))/θ.</x:v>
      </x:c>
    </x:row>
    <x:row r="15">
      <x:c r="A15" s="28" t="str">
        <x:v>eta_x</x:v>
      </x:c>
      <x:c r="B15" s="28" t="str">
        <x:v>η_x</x:v>
      </x:c>
      <x:c r="C15" s="28" t="str">
        <x:v>Trade</x:v>
      </x:c>
      <x:c r="D15" s="30" t="str">
        <x:v>Calibrated</x:v>
      </x:c>
      <x:c r="E15" s="40" t="n">
        <x:v>0.7</x:v>
      </x:c>
      <x:c r="F15" s="28" t="str">
        <x:v>Export relative-price elasticity</x:v>
      </x:c>
      <x:c r="G15" s="28" t="str">
        <x:v>Important for trade adjustment but likely weakly identified given historical data limitations.</x:v>
      </x:c>
      <x:c r="H15" s="28" t="str">
        <x:v>[PLACEHOLDER] Export-demand elasticity literature; Brazil trade elasticity estimates.</x:v>
      </x:c>
      <x:c r="I15" s="28" t="str">
        <x:v>[PLACEHOLDER] Historical exports, relative prices/REER, foreign activity.</x:v>
      </x:c>
      <x:c r="J15" s="28" t="str">
        <x:v>Sensitivity parameter; estimate only if trade block is separately identified.</x:v>
      </x:c>
    </x:row>
    <x:row r="16">
      <x:c r="A16" s="28" t="str">
        <x:v>cH_y</x:v>
      </x:c>
      <x:c r="B16" s="28" t="str">
        <x:v>C_H/Y</x:v>
      </x:c>
      <x:c r="C16" s="28" t="str">
        <x:v>Steady-state shares</x:v>
      </x:c>
      <x:c r="D16" s="30" t="str">
        <x:v>Calibrated</x:v>
      </x:c>
      <x:c r="E16" s="40" t="n">
        <x:v>0.68</x:v>
      </x:c>
      <x:c r="F16" s="28" t="str">
        <x:v>Domestic household consumption / GDP</x:v>
      </x:c>
      <x:c r="G16" s="28" t="str">
        <x:v>Steady-state accounting share should be matched to period-average national accounts.</x:v>
      </x:c>
      <x:c r="H16" s="28" t="str">
        <x:v>[PLACEHOLDER] Galí–Monacelli steady-state resource allocation; Brazil national accounts.</x:v>
      </x:c>
      <x:c r="I16" s="28" t="str">
        <x:v>[PLACEHOLDER] IBGE/Ipeadata national accounts, 1964–1972 or chosen pre-shock window.</x:v>
      </x:c>
      <x:c r="J16" s="28" t="str">
        <x:v>Must be jointly consistent with x_y, g_y, ig_y; domestic absorption shares sum to 1.</x:v>
      </x:c>
    </x:row>
    <x:row r="17">
      <x:c r="A17" s="28" t="str">
        <x:v>x_y</x:v>
      </x:c>
      <x:c r="B17" s="28" t="str">
        <x:v>X/Y</x:v>
      </x:c>
      <x:c r="C17" s="28" t="str">
        <x:v>Steady-state shares</x:v>
      </x:c>
      <x:c r="D17" s="30" t="str">
        <x:v>Calibrated</x:v>
      </x:c>
      <x:c r="E17" s="40" t="n">
        <x:v>0.12</x:v>
      </x:c>
      <x:c r="F17" s="28" t="str">
        <x:v>Exports / GDP</x:v>
      </x:c>
      <x:c r="G17" s="28" t="str">
        <x:v>Observable national-accounts ratio and should be calibrated to the pre-shock steady state.</x:v>
      </x:c>
      <x:c r="H17" s="28" t="str">
        <x:v>[PLACEHOLDER] Brazil national accounts / external-sector historical series.</x:v>
      </x:c>
      <x:c r="I17" s="28" t="str">
        <x:v>[PLACEHOLDER] IBGE/Ipeadata/Bacen exports-to-GDP.</x:v>
      </x:c>
      <x:c r="J17" s="28" t="str">
        <x:v>Also anchors steady-state import expenditure under the balanced-trade normalization.</x:v>
      </x:c>
    </x:row>
    <x:row r="18">
      <x:c r="A18" s="28" t="str">
        <x:v>g_y</x:v>
      </x:c>
      <x:c r="B18" s="28" t="str">
        <x:v>G^C/Y</x:v>
      </x:c>
      <x:c r="C18" s="28" t="str">
        <x:v>Steady-state shares</x:v>
      </x:c>
      <x:c r="D18" s="30" t="str">
        <x:v>Calibrated</x:v>
      </x:c>
      <x:c r="E18" s="40" t="n">
        <x:v>0.14</x:v>
      </x:c>
      <x:c r="F18" s="28" t="str">
        <x:v>Government consumption / GDP</x:v>
      </x:c>
      <x:c r="G18" s="28" t="str">
        <x:v>Observable fiscal/national-accounts ratio.</x:v>
      </x:c>
      <x:c r="H18" s="28" t="str">
        <x:v>[PLACEHOLDER] Brazil public-consumption / national-accounts source.</x:v>
      </x:c>
      <x:c r="I18" s="28" t="str">
        <x:v>[PLACEHOLDER] IBGE/Ipeadata government consumption series.</x:v>
      </x:c>
      <x:c r="J18" s="28" t="str">
        <x:v>Separate from public/SOE investment.</x:v>
      </x:c>
    </x:row>
    <x:row r="19">
      <x:c r="A19" s="28" t="str">
        <x:v>ig_y</x:v>
      </x:c>
      <x:c r="B19" s="28" t="str">
        <x:v>I^G/Y</x:v>
      </x:c>
      <x:c r="C19" s="28" t="str">
        <x:v>Steady-state shares</x:v>
      </x:c>
      <x:c r="D19" s="30" t="str">
        <x:v>Calibrated</x:v>
      </x:c>
      <x:c r="E19" s="40" t="n">
        <x:v>0.06</x:v>
      </x:c>
      <x:c r="F19" s="28" t="str">
        <x:v>Public/SOE investment / GDP</x:v>
      </x:c>
      <x:c r="G19" s="28" t="str">
        <x:v>Historical public investment is central to the II-PND channel and should be tied to data.</x:v>
      </x:c>
      <x:c r="H19" s="28" t="str">
        <x:v>[PLACEHOLDER] Ayres et al.; historical SOE/public-investment studies — add exact citation.</x:v>
      </x:c>
      <x:c r="I19" s="28" t="str">
        <x:v>[PLACEHOLDER] Ipeadata/IBGE/SOE investment historical series.</x:v>
      </x:c>
      <x:c r="J19" s="28" t="str">
        <x:v>Baseline should reflect pre-shock or chosen regime mean; shock handles the II-PND expansion.</x:v>
      </x:c>
    </x:row>
    <x:row r="20">
      <x:c r="A20" s="28" t="str">
        <x:v>cf_y</x:v>
      </x:c>
      <x:c r="B20" s="28" t="str">
        <x:v>C_F/Y</x:v>
      </x:c>
      <x:c r="C20" s="28" t="str">
        <x:v>Steady-state shares</x:v>
      </x:c>
      <x:c r="D20" s="30" t="str">
        <x:v>Calibrated</x:v>
      </x:c>
      <x:c r="E20" s="40" t="n">
        <x:v>0.05</x:v>
      </x:c>
      <x:c r="F20" s="28" t="str">
        <x:v>Imported final consumption / GDP</x:v>
      </x:c>
      <x:c r="G20" s="28" t="str">
        <x:v>Import composition share should come from historical use/composition data and satisfy trade accounting.</x:v>
      </x:c>
      <x:c r="H20" s="28" t="str">
        <x:v>[PLACEHOLDER] Brazil import composition / input-output evidence.</x:v>
      </x:c>
      <x:c r="I20" s="28" t="str">
        <x:v>[PLACEHOLDER] IBGE/input-output/historical import-category data.</x:v>
      </x:c>
      <x:c r="J20" s="28" t="str">
        <x:v>Together with z_y should equal x_y under the initial balanced-trade normalization.</x:v>
      </x:c>
    </x:row>
    <x:row r="21">
      <x:c r="A21" s="28" t="str">
        <x:v>z_y</x:v>
      </x:c>
      <x:c r="B21" s="28" t="str">
        <x:v>P_Z Z/Y</x:v>
      </x:c>
      <x:c r="C21" s="28" t="str">
        <x:v>Steady-state shares</x:v>
      </x:c>
      <x:c r="D21" s="30" t="str">
        <x:v>Calibrated</x:v>
      </x:c>
      <x:c r="E21" s="40" t="n">
        <x:v>0.07</x:v>
      </x:c>
      <x:c r="F21" s="28" t="str">
        <x:v>Imported intermediate expenditure / GDP</x:v>
      </x:c>
      <x:c r="G21" s="28" t="str">
        <x:v>Directly disciplines the imported-cost channel and should be calibrated from import-use data.</x:v>
      </x:c>
      <x:c r="H21" s="28" t="str">
        <x:v>[PLACEHOLDER] Brazil imported intermediate input evidence / input-output tables.</x:v>
      </x:c>
      <x:c r="I21" s="28" t="str">
        <x:v>[PLACEHOLDER] IBGE input-output tables / historical intermediate-goods imports.</x:v>
      </x:c>
      <x:c r="J21" s="28" t="str">
        <x:v>Together with cf_y should equal x_y under initial balanced trade.</x:v>
      </x:c>
    </x:row>
    <x:row r="22">
      <x:c r="A22" s="28" t="str">
        <x:v>rhoF</x:v>
      </x:c>
      <x:c r="B22" s="28" t="str">
        <x:v>ρ_F</x:v>
      </x:c>
      <x:c r="C22" s="28" t="str">
        <x:v>Foreign shocks</x:v>
      </x:c>
      <x:c r="D22" s="38" t="str">
        <x:v>Estimated</x:v>
      </x:c>
      <x:c r="E22" s="40" t="n">
        <x:v>0.75</x:v>
      </x:c>
      <x:c r="F22" s="28" t="str">
        <x:v>Persistence of foreign-price inflation shock</x:v>
      </x:c>
      <x:c r="G22" s="28" t="str">
        <x:v>Can be estimated directly from the observable foreign/import-price process.</x:v>
      </x:c>
      <x:c r="H22" s="28" t="str">
        <x:v>[PLACEHOLDER] AR(1) treatment of external price shocks in SOE DSGE literature.</x:v>
      </x:c>
      <x:c r="I22" s="28" t="str">
        <x:v>[PLACEHOLDER] Import-price / foreign-price index relevant to Brazil, quarterly 1964–1980.</x:v>
      </x:c>
      <x:c r="J22" s="28" t="str">
        <x:v>Estimate outside or jointly with DSGE; 1973 and 1979 can later be dated large innovations.</x:v>
      </x:c>
    </x:row>
    <x:row r="23">
      <x:c r="A23" s="28" t="str">
        <x:v>rhoiw</x:v>
      </x:c>
      <x:c r="B23" s="28" t="str">
        <x:v>ρ_{i*}</x:v>
      </x:c>
      <x:c r="C23" s="28" t="str">
        <x:v>Foreign shocks</x:v>
      </x:c>
      <x:c r="D23" s="38" t="str">
        <x:v>Estimated</x:v>
      </x:c>
      <x:c r="E23" s="40" t="n">
        <x:v>0.85</x:v>
      </x:c>
      <x:c r="F23" s="28" t="str">
        <x:v>Persistence of world interest rate</x:v>
      </x:c>
      <x:c r="G23" s="28" t="str">
        <x:v>Observable global rate process should discipline its own persistence.</x:v>
      </x:c>
      <x:c r="H23" s="28" t="str">
        <x:v>[PLACEHOLDER] SOE DSGE world-rate process; historical international financial conditions literature.</x:v>
      </x:c>
      <x:c r="I23" s="28" t="str">
        <x:v>[PLACEHOLDER] US/global short rate or relevant syndicated/eurodollar funding benchmark.</x:v>
      </x:c>
      <x:c r="J23" s="28" t="str">
        <x:v>Estimate directly from chosen world-rate series.</x:v>
      </x:c>
    </x:row>
    <x:row r="24">
      <x:c r="A24" s="28" t="str">
        <x:v>phiD</x:v>
      </x:c>
      <x:c r="B24" s="28" t="str">
        <x:v>φ_D</x:v>
      </x:c>
      <x:c r="C24" s="28" t="str">
        <x:v>External debt / risk premium</x:v>
      </x:c>
      <x:c r="D24" s="38" t="str">
        <x:v>Estimated</x:v>
      </x:c>
      <x:c r="E24" s="40" t="n">
        <x:v>0.03</x:v>
      </x:c>
      <x:c r="F24" s="28" t="str">
        <x:v>Risk-premium sensitivity to debt level</x:v>
      </x:c>
      <x:c r="G24" s="28" t="str">
        <x:v>Central external-debt feedback parameter; should face debt and borrowing-cost/spread data if possible.</x:v>
      </x:c>
      <x:c r="H24" s="28" t="str">
        <x:v>[PLACEHOLDER] Schmitt-Grohé &amp; Uribe debt-elastic interest-rate premium; Brazil external-debt literature.</x:v>
      </x:c>
      <x:c r="I24" s="28" t="str">
        <x:v>[PLACEHOLDER] External public debt/GDP + effective foreign borrowing cost/spread proxy.</x:v>
      </x:c>
      <x:c r="J24" s="28" t="str">
        <x:v>Core parameter; if pre-1980 spread data are too weak, use informative prior and robustness.</x:v>
      </x:c>
    </x:row>
    <x:row r="25">
      <x:c r="A25" s="28" t="str">
        <x:v>phiDD</x:v>
      </x:c>
      <x:c r="B25" s="28" t="str">
        <x:v>φ_{ΔD}</x:v>
      </x:c>
      <x:c r="C25" s="28" t="str">
        <x:v>External debt / risk premium</x:v>
      </x:c>
      <x:c r="D25" s="38" t="str">
        <x:v>Estimated</x:v>
      </x:c>
      <x:c r="E25" s="40" t="n">
        <x:v>0.05</x:v>
      </x:c>
      <x:c r="F25" s="28" t="str">
        <x:v>Risk-premium sensitivity to debt acceleration</x:v>
      </x:c>
      <x:c r="G25" s="28" t="str">
        <x:v>Historical accelerator is a paper-specific mechanism; it should not be arbitrarily calibrated to force instability.</x:v>
      </x:c>
      <x:c r="H25" s="28" t="str">
        <x:v>[PLACEHOLDER] Add citation/argument for flow-of-borrowing or debt-acceleration premium specification.</x:v>
      </x:c>
      <x:c r="I25" s="28" t="str">
        <x:v>[PLACEHOLDER] External debt changes + borrowing terms/loan spreads/EMBI predecessor proxies if available.</x:v>
      </x:c>
      <x:c r="J25" s="28" t="str">
        <x:v>Core novelty parameter. Compare model with φ_{ΔD}=0.</x:v>
      </x:c>
    </x:row>
    <x:row r="26">
      <x:c r="A26" s="28" t="str">
        <x:v>dbar</x:v>
      </x:c>
      <x:c r="B26" s="28" t="str">
        <x:v>d̄*</x:v>
      </x:c>
      <x:c r="C26" s="28" t="str">
        <x:v>External debt / steady state</x:v>
      </x:c>
      <x:c r="D26" s="30" t="str">
        <x:v>Calibrated</x:v>
      </x:c>
      <x:c r="E26" s="40" t="n">
        <x:v>0.25</x:v>
      </x:c>
      <x:c r="F26" s="28" t="str">
        <x:v>Steady-state public external debt / GDP</x:v>
      </x:c>
      <x:c r="G26" s="28" t="str">
        <x:v>Observable initial-state/steady-state ratio rather than a behavioral parameter.</x:v>
      </x:c>
      <x:c r="H26" s="28" t="str">
        <x:v>[PLACEHOLDER] Brazil public external debt history; Ayres et al./Bacen/Ipeadata.</x:v>
      </x:c>
      <x:c r="I26" s="28" t="str">
        <x:v>[PLACEHOLDER] Consolidated public/SOE external debt relative to GDP in chosen pre-shock window.</x:v>
      </x:c>
      <x:c r="J26" s="28" t="str">
        <x:v>Clarify debt coverage so it matches the model's consolidated public-sector definition.</x:v>
      </x:c>
    </x:row>
    <x:row r="27">
      <x:c r="A27" s="28" t="str">
        <x:v>rstar_ss</x:v>
      </x:c>
      <x:c r="B27" s="28" t="str">
        <x:v>r̄*</x:v>
      </x:c>
      <x:c r="C27" s="28" t="str">
        <x:v>External debt / steady state</x:v>
      </x:c>
      <x:c r="D27" s="30" t="str">
        <x:v>Calibrated</x:v>
      </x:c>
      <x:c r="E27" s="40" t="n">
        <x:v>0.0125</x:v>
      </x:c>
      <x:c r="F27" s="28" t="str">
        <x:v>Quarterly steady-state world borrowing rate</x:v>
      </x:c>
      <x:c r="G27" s="28" t="str">
        <x:v>Long-run observable financing condition; use historical mean rather than estimate jointly.</x:v>
      </x:c>
      <x:c r="H27" s="28" t="str">
        <x:v>[PLACEHOLDER] Historical world interest rate / Brazil external borrowing-cost evidence.</x:v>
      </x:c>
      <x:c r="I27" s="28" t="str">
        <x:v>[PLACEHOLDER] Chosen global rate or effective external borrowing rate, converted to quarterly units.</x:v>
      </x:c>
      <x:c r="J27" s="28" t="str">
        <x:v>Current 1.25% quarterly is provisional.</x:v>
      </x:c>
    </x:row>
    <x:row r="28">
      <x:c r="A28" s="28" t="str">
        <x:v>rhoi</x:v>
      </x:c>
      <x:c r="B28" s="28" t="str">
        <x:v>ρ_i</x:v>
      </x:c>
      <x:c r="C28" s="28" t="str">
        <x:v>Monetary policy</x:v>
      </x:c>
      <x:c r="D28" s="38" t="str">
        <x:v>Estimated</x:v>
      </x:c>
      <x:c r="E28" s="40" t="n">
        <x:v>0.75</x:v>
      </x:c>
      <x:c r="F28" s="28" t="str">
        <x:v>Interest-rate smoothing</x:v>
      </x:c>
      <x:c r="G28" s="28" t="str">
        <x:v>Policy inertia is observable in the domestic rate and affects monetary transmission.</x:v>
      </x:c>
      <x:c r="H28" s="28" t="str">
        <x:v>[PLACEHOLDER] Taylor-rule estimation literature; Brazil monetary-policy historical studies.</x:v>
      </x:c>
      <x:c r="I28" s="28" t="str">
        <x:v>[PLACEHOLDER] Brazilian policy/overnight/regulated interest-rate series appropriate to the period.</x:v>
      </x:c>
      <x:c r="J28" s="28" t="str">
        <x:v>Estimate jointly with φ_π and φ_E; be careful about changing policy instruments across the sample.</x:v>
      </x:c>
    </x:row>
    <x:row r="29">
      <x:c r="A29" s="28" t="str">
        <x:v>phiPi</x:v>
      </x:c>
      <x:c r="B29" s="28" t="str">
        <x:v>φ_π</x:v>
      </x:c>
      <x:c r="C29" s="28" t="str">
        <x:v>Monetary policy</x:v>
      </x:c>
      <x:c r="D29" s="38" t="str">
        <x:v>Estimated</x:v>
      </x:c>
      <x:c r="E29" s="40" t="n">
        <x:v>0.35</x:v>
      </x:c>
      <x:c r="F29" s="28" t="str">
        <x:v>Policy response to inflation</x:v>
      </x:c>
      <x:c r="G29" s="28" t="str">
        <x:v>Whether the response is below one is a core historical claim, so it must be estimated/tested.</x:v>
      </x:c>
      <x:c r="H29" s="28" t="str">
        <x:v>[PLACEHOLDER] Leeper (1991); Brazil 1970s monetary-policy evidence; Cardoso/Arida-related historical work.</x:v>
      </x:c>
      <x:c r="I29" s="28" t="str">
        <x:v>[PLACEHOLDER] Domestic interest rate and inflation data, with regime/instrument documentation.</x:v>
      </x:c>
      <x:c r="J29" s="28" t="str">
        <x:v>Core thesis parameter. Test posterior/probability that φ_π&lt;1.</x:v>
      </x:c>
    </x:row>
    <x:row r="30">
      <x:c r="A30" s="28" t="str">
        <x:v>phiE</x:v>
      </x:c>
      <x:c r="B30" s="28" t="str">
        <x:v>φ_E</x:v>
      </x:c>
      <x:c r="C30" s="28" t="str">
        <x:v>Monetary policy</x:v>
      </x:c>
      <x:c r="D30" s="38" t="str">
        <x:v>Estimated</x:v>
      </x:c>
      <x:c r="E30" s="40" t="n">
        <x:v>0.65</x:v>
      </x:c>
      <x:c r="F30" s="28" t="str">
        <x:v>Policy response to external financing pressure</x:v>
      </x:c>
      <x:c r="G30" s="28" t="str">
        <x:v>Captures the claim that rates reacted to foreign-financing conditions; should be data-disciplined.</x:v>
      </x:c>
      <x:c r="H30" s="28" t="str">
        <x:v>[PLACEHOLDER] Historical evidence on Brazil rate policy/external financing; open-economy policy-rule literature.</x:v>
      </x:c>
      <x:c r="I30" s="28" t="str">
        <x:v>[PLACEHOLDER] Domestic rate, world rate, external debt/risk proxy.</x:v>
      </x:c>
      <x:c r="J30" s="28" t="str">
        <x:v>Core historical parameter; compare φ_E=0 counterfactual.</x:v>
      </x:c>
    </x:row>
    <x:row r="31">
      <x:c r="A31" s="28" t="str">
        <x:v>eta_mc</x:v>
      </x:c>
      <x:c r="B31" s="28" t="str">
        <x:v>η_mc</x:v>
      </x:c>
      <x:c r="C31" s="28" t="str">
        <x:v>Money demand / MIU</x:v>
      </x:c>
      <x:c r="D31" s="38" t="str">
        <x:v>Estimated</x:v>
      </x:c>
      <x:c r="E31" s="40" t="n">
        <x:v>0.75</x:v>
      </x:c>
      <x:c r="F31" s="28" t="str">
        <x:v>Consumption/activity elasticity in real-money demand</x:v>
      </x:c>
      <x:c r="G31" s="28" t="str">
        <x:v>MIU is retained to explain money demand/velocity; its reduced-form elasticity can be estimated from monetary data.</x:v>
      </x:c>
      <x:c r="H31" s="28" t="str">
        <x:v>[PLACEHOLDER] Money-in-utility / money-demand literature; Brazil money-demand studies.</x:v>
      </x:c>
      <x:c r="I31" s="28" t="str">
        <x:v>[PLACEHOLDER] Real monetary base/balances, real consumption/output, nominal interest rate.</x:v>
      </x:c>
      <x:c r="J31" s="28" t="str">
        <x:v>Check stability across inflation regimes.</x:v>
      </x:c>
    </x:row>
    <x:row r="32">
      <x:c r="A32" s="28" t="str">
        <x:v>eta_mi</x:v>
      </x:c>
      <x:c r="B32" s="28" t="str">
        <x:v>η_mi</x:v>
      </x:c>
      <x:c r="C32" s="28" t="str">
        <x:v>Money demand / MIU</x:v>
      </x:c>
      <x:c r="D32" s="38" t="str">
        <x:v>Estimated</x:v>
      </x:c>
      <x:c r="E32" s="40" t="n">
        <x:v>4</x:v>
      </x:c>
      <x:c r="F32" s="28" t="str">
        <x:v>Semi-elasticity of real-money demand to nominal interest rate</x:v>
      </x:c>
      <x:c r="G32" s="28" t="str">
        <x:v>Determines flight from money and therefore seigniorage capacity; historically important and observable.</x:v>
      </x:c>
      <x:c r="H32" s="28" t="str">
        <x:v>[PLACEHOLDER] Cagan-style/high-inflation money demand; Brazil money-demand estimates.</x:v>
      </x:c>
      <x:c r="I32" s="28" t="str">
        <x:v>[PLACEHOLDER] Monetary base/M1, CPI, nominal interest rate.</x:v>
      </x:c>
      <x:c r="J32" s="28" t="str">
        <x:v>Core monetary-fiscal parameter; estimate with careful unit scaling of i.</x:v>
      </x:c>
    </x:row>
    <x:row r="33">
      <x:c r="A33" s="28" t="str">
        <x:v>money_y</x:v>
      </x:c>
      <x:c r="B33" s="28" t="str">
        <x:v>M/PY</x:v>
      </x:c>
      <x:c r="C33" s="28" t="str">
        <x:v>Money / steady state</x:v>
      </x:c>
      <x:c r="D33" s="30" t="str">
        <x:v>Calibrated</x:v>
      </x:c>
      <x:c r="E33" s="40" t="n">
        <x:v>0.08</x:v>
      </x:c>
      <x:c r="F33" s="28" t="str">
        <x:v>Real money balances / GDP</x:v>
      </x:c>
      <x:c r="G33" s="28" t="str">
        <x:v>Steady-state monetary ratio is directly observable.</x:v>
      </x:c>
      <x:c r="H33" s="28" t="str">
        <x:v>[PLACEHOLDER] Brazil monetary base/M1 historical data and national accounts.</x:v>
      </x:c>
      <x:c r="I33" s="28" t="str">
        <x:v>[PLACEHOLDER] Bacen/Ipeadata monetary base or chosen monetary aggregate divided by nominal GDP.</x:v>
      </x:c>
      <x:c r="J33" s="28" t="str">
        <x:v>Choose the monetary aggregate consistent with government seigniorage definition.</x:v>
      </x:c>
    </x:row>
    <x:row r="34">
      <x:c r="A34" s="28" t="str">
        <x:v>Pi_ss</x:v>
      </x:c>
      <x:c r="B34" s="28" t="str">
        <x:v>Π̄</x:v>
      </x:c>
      <x:c r="C34" s="28" t="str">
        <x:v>Inflation / steady state</x:v>
      </x:c>
      <x:c r="D34" s="30" t="str">
        <x:v>Calibrated</x:v>
      </x:c>
      <x:c r="E34" s="40" t="n">
        <x:v>1.0466351393921056</x:v>
      </x:c>
      <x:c r="F34" s="28" t="str">
        <x:v>Gross quarterly steady-state inflation</x:v>
      </x:c>
      <x:c r="G34" s="28" t="str">
        <x:v>Anchored to the pre-oil-shock historical inflation plateau (~20% annual), not freely estimated in baseline.</x:v>
      </x:c>
      <x:c r="H34" s="28" t="str">
        <x:v>[PLACEHOLDER] Arida &amp; Lara Resende / Cardoso historical inflation evidence.</x:v>
      </x:c>
      <x:c r="I34" s="28" t="str">
        <x:v>[PLACEHOLDER] Brazilian CPI/price index, pre-1973 average.</x:v>
      </x:c>
      <x:c r="J34" s="28" t="str">
        <x:v>Current value = (1.20)^(1/4). Revisit exact price index and sample average.</x:v>
      </x:c>
    </x:row>
    <x:row r="35">
      <x:c r="A35" s="28" t="str">
        <x:v>invPi</x:v>
      </x:c>
      <x:c r="B35" s="28" t="str">
        <x:v>1/Π̄</x:v>
      </x:c>
      <x:c r="C35" s="28" t="str">
        <x:v>Inflation / steady state</x:v>
      </x:c>
      <x:c r="D35" s="34" t="str">
        <x:v>Fixed by normalization</x:v>
      </x:c>
      <x:c r="E35" s="41" t="n">
        <x:f>1/E34</x:f>
        <x:v>0.9554427922043668</x:v>
      </x:c>
      <x:c r="F35" s="28" t="str">
        <x:v>Inverse gross steady-state inflation</x:v>
      </x:c>
      <x:c r="G35" s="28" t="str">
        <x:v>Mechanical transformation of Π̄ used in the seigniorage linearization.</x:v>
      </x:c>
      <x:c r="H35" s="28" t="str">
        <x:v>[PLACEHOLDER] Algebraic derivation of seigniorage linearization.</x:v>
      </x:c>
      <x:c r="I35" s="28" t="str">
        <x:v>Derived; no independent source.</x:v>
      </x:c>
      <x:c r="J35" s="28" t="str">
        <x:v>Excel formula = 1 / Π̄.</x:v>
      </x:c>
    </x:row>
    <x:row r="36">
      <x:c r="A36" s="28" t="str">
        <x:v>rhotau</x:v>
      </x:c>
      <x:c r="B36" s="28" t="str">
        <x:v>ρ_τ</x:v>
      </x:c>
      <x:c r="C36" s="28" t="str">
        <x:v>Fiscal policy</x:v>
      </x:c>
      <x:c r="D36" s="38" t="str">
        <x:v>Estimated</x:v>
      </x:c>
      <x:c r="E36" s="40" t="n">
        <x:v>0.85</x:v>
      </x:c>
      <x:c r="F36" s="28" t="str">
        <x:v>Persistence of effective tax-revenue/GDP ratio</x:v>
      </x:c>
      <x:c r="G36" s="28" t="str">
        <x:v>Taxes are not debt-stabilizing in the post-1973 regime, but their observed persistence can be estimated.</x:v>
      </x:c>
      <x:c r="H36" s="28" t="str">
        <x:v>[PLACEHOLDER] Historical Brazilian tax-burden evidence; fiscal-rule process literature.</x:v>
      </x:c>
      <x:c r="I36" s="28" t="str">
        <x:v>[PLACEHOLDER] Ipeadata/IBGE tax revenue or gross tax burden, quarterly/interpolated carefully.</x:v>
      </x:c>
      <x:c r="J36" s="28" t="str">
        <x:v>Debt feedback remains fixed at zero; only persistence is estimated.</x:v>
      </x:c>
    </x:row>
    <x:row r="37">
      <x:c r="A37" s="28" t="str">
        <x:v>rhoG</x:v>
      </x:c>
      <x:c r="B37" s="28" t="str">
        <x:v>ρ_G</x:v>
      </x:c>
      <x:c r="C37" s="28" t="str">
        <x:v>Fiscal policy</x:v>
      </x:c>
      <x:c r="D37" s="38" t="str">
        <x:v>Estimated</x:v>
      </x:c>
      <x:c r="E37" s="40" t="n">
        <x:v>0.8</x:v>
      </x:c>
      <x:c r="F37" s="28" t="str">
        <x:v>Persistence of ordinary government consumption</x:v>
      </x:c>
      <x:c r="G37" s="28" t="str">
        <x:v>Observable fiscal expenditure process can discipline its persistence.</x:v>
      </x:c>
      <x:c r="H37" s="28" t="str">
        <x:v>[PLACEHOLDER] Fiscal shock process in DSGE literature; Brazil public-consumption evidence.</x:v>
      </x:c>
      <x:c r="I37" s="28" t="str">
        <x:v>[PLACEHOLDER] Government consumption series.</x:v>
      </x:c>
      <x:c r="J37" s="28" t="str">
        <x:v>Keep separate from public/SOE investment.</x:v>
      </x:c>
    </x:row>
    <x:row r="38">
      <x:c r="A38" s="28" t="str">
        <x:v>rhoIG</x:v>
      </x:c>
      <x:c r="B38" s="28" t="str">
        <x:v>ρ_IG</x:v>
      </x:c>
      <x:c r="C38" s="28" t="str">
        <x:v>Fiscal policy / II-PND</x:v>
      </x:c>
      <x:c r="D38" s="38" t="str">
        <x:v>Estimated</x:v>
      </x:c>
      <x:c r="E38" s="40" t="n">
        <x:v>0.95</x:v>
      </x:c>
      <x:c r="F38" s="28" t="str">
        <x:v>Persistence of public/SOE investment</x:v>
      </x:c>
      <x:c r="G38" s="28" t="str">
        <x:v>Persistence of the development-policy investment expansion is central to the post-1973 propagation.</x:v>
      </x:c>
      <x:c r="H38" s="28" t="str">
        <x:v>[PLACEHOLDER] II PND / SOE investment historical literature; Ayres et al.</x:v>
      </x:c>
      <x:c r="I38" s="28" t="str">
        <x:v>[PLACEHOLDER] Public/SOE investment series, preferably quarterly or annual with measurement treatment.</x:v>
      </x:c>
      <x:c r="J38" s="28" t="str">
        <x:v>Core fiscal parameter; compare actual-history shock with ε_IG=0 counterfactual.</x:v>
      </x:c>
    </x:row>
    <x:row r="39">
      <x:c r="A39" s="28" t="str">
        <x:v>rhoa</x:v>
      </x:c>
      <x:c r="B39" s="28" t="str">
        <x:v>ρ_a</x:v>
      </x:c>
      <x:c r="C39" s="28" t="str">
        <x:v>Technology</x:v>
      </x:c>
      <x:c r="D39" s="38" t="str">
        <x:v>Estimated</x:v>
      </x:c>
      <x:c r="E39" s="40" t="n">
        <x:v>0.9</x:v>
      </x:c>
      <x:c r="F39" s="28" t="str">
        <x:v>Technology shock persistence</x:v>
      </x:c>
      <x:c r="G39" s="28" t="str">
        <x:v>Standard latent shock persistence; estimate so technology does not absorb the historical mechanisms by calibration.</x:v>
      </x:c>
      <x:c r="H39" s="28" t="str">
        <x:v>[PLACEHOLDER] Standard SOE DSGE productivity process.</x:v>
      </x:c>
      <x:c r="I39" s="28" t="str">
        <x:v>[PLACEHOLDER] Output/labor/TFP proxy if available.</x:v>
      </x:c>
      <x:c r="J39" s="28" t="str">
        <x:v>Use informative prior if TFP measurement is weak.</x:v>
      </x:c>
    </x:row>
    <x:row r="40">
      <x:c r="A40" s="28" t="str">
        <x:v>rhoystar</x:v>
      </x:c>
      <x:c r="B40" s="28" t="str">
        <x:v>ρ_y*</x:v>
      </x:c>
      <x:c r="C40" s="28" t="str">
        <x:v>Foreign activity</x:v>
      </x:c>
      <x:c r="D40" s="38" t="str">
        <x:v>Estimated</x:v>
      </x:c>
      <x:c r="E40" s="40" t="n">
        <x:v>0.85</x:v>
      </x:c>
      <x:c r="F40" s="28" t="str">
        <x:v>Foreign output persistence</x:v>
      </x:c>
      <x:c r="G40" s="28" t="str">
        <x:v>Foreign activity is observable and its persistence can be estimated directly.</x:v>
      </x:c>
      <x:c r="H40" s="28" t="str">
        <x:v>[PLACEHOLDER] SOE DSGE foreign-output process.</x:v>
      </x:c>
      <x:c r="I40" s="28" t="str">
        <x:v>[PLACEHOLDER] Trade-weighted foreign GDP / major partner industrial production.</x:v>
      </x:c>
      <x:c r="J40" s="28" t="str">
        <x:v>Prefer direct time-series estimate outside the DSGE if data are reliable.</x:v>
      </x:c>
    </x:row>
    <x:row r="41">
      <x:c r="A41" s="28" t="str">
        <x:v>rdom_ss</x:v>
      </x:c>
      <x:c r="B41" s="28" t="str">
        <x:v>r̄_d</x:v>
      </x:c>
      <x:c r="C41" s="28" t="str">
        <x:v>Domestic debt / steady state</x:v>
      </x:c>
      <x:c r="D41" s="30" t="str">
        <x:v>Calibrated</x:v>
      </x:c>
      <x:c r="E41" s="40" t="n">
        <x:v>0.01</x:v>
      </x:c>
      <x:c r="F41" s="28" t="str">
        <x:v>Quarterly steady-state domestic debt carrying rate</x:v>
      </x:c>
      <x:c r="G41" s="28" t="str">
        <x:v>Long-run debt-service rate should be matched to historical domestic public-debt financing conditions.</x:v>
      </x:c>
      <x:c r="H41" s="28" t="str">
        <x:v>[PLACEHOLDER] Historical Brazilian indexed public debt / ORTN and domestic financing literature.</x:v>
      </x:c>
      <x:c r="I41" s="28" t="str">
        <x:v>[PLACEHOLDER] Effective domestic public-debt interest cost or instrument-specific historical rate.</x:v>
      </x:c>
      <x:c r="J41" s="28" t="str">
        <x:v>Current 1.0% quarterly is provisional; ensure consistency with inflation/indexation treatment.</x:v>
      </x:c>
    </x:row>
    <x:row r="42">
      <x:c r="A42" s="28" t="str">
        <x:v>bbar</x:v>
      </x:c>
      <x:c r="B42" s="28" t="str">
        <x:v>b̄</x:v>
      </x:c>
      <x:c r="C42" s="28" t="str">
        <x:v>Domestic debt / steady state</x:v>
      </x:c>
      <x:c r="D42" s="30" t="str">
        <x:v>Calibrated</x:v>
      </x:c>
      <x:c r="E42" s="40" t="n">
        <x:v>0.2</x:v>
      </x:c>
      <x:c r="F42" s="28" t="str">
        <x:v>Steady-state domestic public debt / GDP</x:v>
      </x:c>
      <x:c r="G42" s="28" t="str">
        <x:v>Observable public-debt stock ratio.</x:v>
      </x:c>
      <x:c r="H42" s="28" t="str">
        <x:v>[PLACEHOLDER] Brazil domestic public debt historical series; PAEG debt-market development literature.</x:v>
      </x:c>
      <x:c r="I42" s="28" t="str">
        <x:v>[PLACEHOLDER] Domestic federal/public-sector debt/GDP in chosen pre-shock window.</x:v>
      </x:c>
      <x:c r="J42" s="28" t="str">
        <x:v>Make debt definition consistent with household-held B_t in the model.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b131eabca6e41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4" hidden="0" customWidth="1"/>
    <x:col min="4" max="4" width="42" hidden="0" customWidth="1"/>
    <x:col min="5" max="5" width="40" hidden="0" customWidth="1"/>
    <x:col min="6" max="6" width="28" hidden="0" customWidth="1"/>
  </x:cols>
  <x:sheetData>
    <x:row r="1">
      <x:c r="A1" s="50" t="str">
        <x:v>Legend, Estimation Strategy, and Citation Placeholders</x:v>
      </x:c>
      <x:c r="B1" s="50"/>
      <x:c r="C1" s="50"/>
      <x:c r="D1" s="50"/>
      <x:c r="E1" s="50"/>
      <x:c r="F1" s="50"/>
    </x:row>
    <x:row r="3">
      <x:c r="A3" s="19" t="str">
        <x:v>Classification</x:v>
      </x:c>
      <x:c r="B3" s="19" t="str">
        <x:v>Meaning</x:v>
      </x:c>
      <x:c r="C3" s="19" t="str">
        <x:v>Workbook convention</x:v>
      </x:c>
      <x:c r="D3" s="26"/>
      <x:c r="E3" s="26"/>
      <x:c r="F3" s="26"/>
    </x:row>
    <x:row r="4">
      <x:c r="A4" s="26" t="str">
        <x:v>Estimated</x:v>
      </x:c>
      <x:c r="B4" s="26" t="str">
        <x:v>Parameter should face the 1964–1980 data or an observable auxiliary time series.</x:v>
      </x:c>
      <x:c r="C4" s="26" t="str">
        <x:v>Blue fill in classification cell; baseline is only a starting value.</x:v>
      </x:c>
      <x:c r="D4" s="26"/>
      <x:c r="E4" s="26"/>
      <x:c r="F4" s="26"/>
    </x:row>
    <x:row r="5">
      <x:c r="A5" s="26" t="str">
        <x:v>Calibrated</x:v>
      </x:c>
      <x:c r="B5" s="26" t="str">
        <x:v>Parameter is matched to literature, institutional evidence, or observable steady-state ratios.</x:v>
      </x:c>
      <x:c r="C5" s="26" t="str">
        <x:v>Yellow fill in classification cell; baseline should be updated from data before final estimation.</x:v>
      </x:c>
      <x:c r="D5" s="26"/>
      <x:c r="E5" s="26"/>
      <x:c r="F5" s="26"/>
    </x:row>
    <x:row r="6">
      <x:c r="A6" s="26" t="str">
        <x:v>Fixed by normalization</x:v>
      </x:c>
      <x:c r="B6" s="26" t="str">
        <x:v>Parameter is algebraically derived or imposed by model accounting; it is not free.</x:v>
      </x:c>
      <x:c r="C6" s="26" t="str">
        <x:v>Gray fill; baseline is an Excel formula where applicable.</x:v>
      </x:c>
      <x:c r="D6" s="26"/>
      <x:c r="E6" s="26"/>
      <x:c r="F6" s="26"/>
    </x:row>
    <x:row r="7">
      <x:c r="A7" s="26"/>
      <x:c r="B7" s="26"/>
      <x:c r="C7" s="26"/>
      <x:c r="D7" s="26"/>
      <x:c r="E7" s="26"/>
      <x:c r="F7" s="26"/>
    </x:row>
    <x:row r="8">
      <x:c r="A8" s="19" t="str">
        <x:v>Priority</x:v>
      </x:c>
      <x:c r="B8" s="19" t="str">
        <x:v>Parameters</x:v>
      </x:c>
      <x:c r="C8" s="19" t="str">
        <x:v>Why</x:v>
      </x:c>
      <x:c r="D8" s="19" t="str">
        <x:v>Primary evidence needed</x:v>
      </x:c>
      <x:c r="E8" s="19" t="str">
        <x:v>Main robustness test</x:v>
      </x:c>
      <x:c r="F8" s="19" t="str">
        <x:v>Status</x:v>
      </x:c>
    </x:row>
    <x:row r="9">
      <x:c r="A9" s="26" t="str">
        <x:v>High</x:v>
      </x:c>
      <x:c r="B9" s="26" t="str">
        <x:v>γ_I, φ_π, φ_E, φ_D, φ_ΔD</x:v>
      </x:c>
      <x:c r="C9" s="26" t="str">
        <x:v>These parameters identify the central historical propagation mechanism.</x:v>
      </x:c>
      <x:c r="D9" s="26" t="str">
        <x:v>Inflation, domestic rates, external debt, borrowing costs/risk proxies, institutional evidence.</x:v>
      </x:c>
      <x:c r="E9" s="26" t="str">
        <x:v>Set each mechanism to zero/alternative regime one at a time.</x:v>
      </x:c>
      <x:c r="F9" s="26" t="str">
        <x:v>Literature/data citations still placeholders</x:v>
      </x:c>
    </x:row>
    <x:row r="10">
      <x:c r="A10" s="26" t="str">
        <x:v>High</x:v>
      </x:c>
      <x:c r="B10" s="26" t="str">
        <x:v>ρ_IG, η_mi</x:v>
      </x:c>
      <x:c r="C10" s="26" t="str">
        <x:v>Public-investment persistence and money-demand response determine fiscal/seigniorage propagation.</x:v>
      </x:c>
      <x:c r="D10" s="26" t="str">
        <x:v>SOE/public investment; monetary base/M1; nominal rates.</x:v>
      </x:c>
      <x:c r="E10" s="26" t="str">
        <x:v>No-II-PND and alternative money-demand elasticities.</x:v>
      </x:c>
      <x:c r="F10" s="26" t="str">
        <x:v>Placeholders</x:v>
      </x:c>
    </x:row>
    <x:row r="11">
      <x:c r="A11" s="26" t="str">
        <x:v>Medium</x:v>
      </x:c>
      <x:c r="B11" s="26" t="str">
        <x:v>θ, ρ_i, ρ_F, ρ_i*</x:v>
      </x:c>
      <x:c r="C11" s="26" t="str">
        <x:v>Important dynamics but not the unique contribution of the paper.</x:v>
      </x:c>
      <x:c r="D11" s="26" t="str">
        <x:v>Inflation/output; domestic and foreign rates; import-price series.</x:v>
      </x:c>
      <x:c r="E11" s="26" t="str">
        <x:v>Alternative priors / direct AR estimates.</x:v>
      </x:c>
      <x:c r="F11" s="26" t="str">
        <x:v>Placeholders</x:v>
      </x:c>
    </x:row>
    <x:row r="12">
      <x:c r="A12" s="26" t="str">
        <x:v>Medium</x:v>
      </x:c>
      <x:c r="B12" s="26" t="str">
        <x:v>μ, α, steady-state shares</x:v>
      </x:c>
      <x:c r="C12" s="26" t="str">
        <x:v>Directly discipline openness, imported costs, and fiscal/trade accounting.</x:v>
      </x:c>
      <x:c r="D12" s="26" t="str">
        <x:v>National accounts, input-output/import composition, fiscal ratios.</x:v>
      </x:c>
      <x:c r="E12" s="26" t="str">
        <x:v>Alternative pre-shock calibration windows.</x:v>
      </x:c>
      <x:c r="F12" s="26" t="str">
        <x:v>Placeholders</x:v>
      </x:c>
    </x:row>
    <x:row r="13">
      <x:c r="A13" s="26" t="str">
        <x:v>Lower</x:v>
      </x:c>
      <x:c r="B13" s="26" t="str">
        <x:v>β, σ, φ, η, η_x</x:v>
      </x:c>
      <x:c r="C13" s="26" t="str">
        <x:v>Structural preferences/elasticities are weakly identified and peripheral to the main historical thesis.</x:v>
      </x:c>
      <x:c r="D13" s="26" t="str">
        <x:v>Literature and external elasticity estimates.</x:v>
      </x:c>
      <x:c r="E13" s="26" t="str">
        <x:v>Broad sensitivity ranges.</x:v>
      </x:c>
      <x:c r="F13" s="26" t="str">
        <x:v>Placeholders</x:v>
      </x:c>
    </x:row>
    <x:row r="14">
      <x:c r="A14" s="26"/>
      <x:c r="B14" s="26"/>
      <x:c r="C14" s="26"/>
      <x:c r="D14" s="26"/>
      <x:c r="E14" s="26"/>
      <x:c r="F14" s="26"/>
    </x:row>
    <x:row r="15">
      <x:c r="A15" s="19" t="str">
        <x:v>Citation placeholder policy</x:v>
      </x:c>
      <x:c r="B15" s="19"/>
      <x:c r="C15" s="19"/>
      <x:c r="D15" s="19"/>
      <x:c r="E15" s="19"/>
      <x:c r="F15" s="19"/>
    </x:row>
    <x:row r="16">
      <x:c r="A16" s="26" t="str">
        <x:v>1.</x:v>
      </x:c>
      <x:c r="B16" s="26" t="str">
        <x:v>Replace every [PLACEHOLDER] with an exact source, page/table/equation where possible.</x:v>
      </x:c>
      <x:c r="C16" s="26"/>
      <x:c r="D16" s="26"/>
      <x:c r="E16" s="26"/>
      <x:c r="F16" s="26"/>
    </x:row>
    <x:row r="17">
      <x:c r="A17" s="26" t="str">
        <x:v>2.</x:v>
      </x:c>
      <x:c r="B17" s="26" t="str">
        <x:v>For historical ratios, cite the exact series/database and the sample window used to compute the calibration.</x:v>
      </x:c>
      <x:c r="C17" s="26"/>
      <x:c r="D17" s="26"/>
      <x:c r="E17" s="26"/>
      <x:c r="F17" s="26"/>
    </x:row>
    <x:row r="18">
      <x:c r="A18" s="26" t="str">
        <x:v>3.</x:v>
      </x:c>
      <x:c r="B18" s="26" t="str">
        <x:v>For estimated parameters, distinguish the prior/literature source from the data series used in estimation.</x:v>
      </x:c>
      <x:c r="C18" s="26"/>
      <x:c r="D18" s="26"/>
      <x:c r="E18" s="26"/>
      <x:c r="F18" s="26"/>
    </x:row>
  </x:sheetData>
  <x:mergeCells>
    <x:mergeCell ref="A1:F1"/>
  </x:mergeCells>
  <x:pageMargins left="0.7" right="0.7" top="0.75" bottom="0.75" header="0.3" footer="0.3"/>
</x:worksheet>
</file>